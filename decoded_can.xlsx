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comments1.xml><?xml version="1.0" encoding="utf-8"?>
<comments xmlns="http://schemas.openxmlformats.org/spreadsheetml/2006/main">
  <authors>
    <author>tc={26FD7A06-4F30-C54A-9636-7F1D2E9252A9}</author>
    <author>tc={7D54B0C3-FEA4-1043-B3A2-A7DC84D0F820}</author>
    <author>tc={DF90D0B3-3ECC-6644-8679-2DE0381FF463}</author>
  </authors>
  <commentList>
    <comment ref="D4" authorId="0">
      <text>
        <r>
          <rPr>
            <sz val="11"/>
            <color indexed="8"/>
            <rFont val="Helvetica Neue"/>
          </rPr>
          <t>tc={26FD7A06-4F30-C54A-9636-7F1D2E9252A9}:
[Threaded comment]
Your version of Excel allows you to read this threaded comment; however, any edits to it will get removed if the file is opened in a newer version of Excel. Learn more: https://go.microsoft.com/fwlink/?linkid=870924
Comment:
    might be switched around
inactive and limit have the same id</t>
        </r>
      </text>
    </comment>
    <comment ref="I5" authorId="1">
      <text>
        <r>
          <rPr>
            <sz val="11"/>
            <color indexed="8"/>
            <rFont val="Helvetica Neue"/>
          </rPr>
          <t>tc={7D54B0C3-FEA4-1043-B3A2-A7DC84D0F820}:
[Threaded comment]
Your version of Excel allows you to read this threaded comment; however, any edits to it will get removed if the file is opened in a newer version of Excel. Learn more: https://go.microsoft.com/fwlink/?linkid=870924
Comment:
    Negative values = ABS intervention	
Not tested</t>
        </r>
      </text>
    </comment>
    <comment ref="D6" authorId="2">
      <text>
        <r>
          <rPr>
            <sz val="11"/>
            <color indexed="8"/>
            <rFont val="Helvetica Neue"/>
          </rPr>
          <t>tc={DF90D0B3-3ECC-6644-8679-2DE0381FF463}:
[Threaded comment]
Your version of Excel allows you to read this threaded comment; however, any edits to it will get removed if the file is opened in a newer version of Excel. Learn more: https://go.microsoft.com/fwlink/?linkid=870924
Comment:
    Positive value = right turn</t>
        </r>
      </text>
    </comment>
  </commentList>
</comments>
</file>

<file path=xl/sharedStrings.xml><?xml version="1.0" encoding="utf-8"?>
<sst xmlns="http://schemas.openxmlformats.org/spreadsheetml/2006/main" uniqueCount="31">
  <si>
    <t>Offset</t>
  </si>
  <si>
    <t>CAN ID (HEX)</t>
  </si>
  <si>
    <t>CAN ID (DEC)</t>
  </si>
  <si>
    <t>Byte 1</t>
  </si>
  <si>
    <t>Byte 2</t>
  </si>
  <si>
    <t>Byte 3</t>
  </si>
  <si>
    <t>Byte 4</t>
  </si>
  <si>
    <t>Byte 5</t>
  </si>
  <si>
    <t>Byte 6</t>
  </si>
  <si>
    <t>Byte 7</t>
  </si>
  <si>
    <t>Byte 8</t>
  </si>
  <si>
    <t>tested on 2016 ND1 (EU spec)</t>
  </si>
  <si>
    <t>0x202</t>
  </si>
  <si>
    <r>
      <rPr>
        <b val="1"/>
        <sz val="12"/>
        <color indexed="8"/>
        <rFont val="Aptos Narrow"/>
      </rPr>
      <t>RPM</t>
    </r>
    <r>
      <rPr>
        <sz val="12"/>
        <color indexed="8"/>
        <rFont val="Aptos Narrow"/>
      </rPr>
      <t xml:space="preserve">
</t>
    </r>
    <r>
      <rPr>
        <sz val="12"/>
        <color indexed="8"/>
        <rFont val="Aptos Narrow"/>
      </rPr>
      <t>equation:</t>
    </r>
    <r>
      <rPr>
        <b val="1"/>
        <sz val="12"/>
        <color indexed="8"/>
        <rFont val="Aptos Narrow"/>
      </rPr>
      <t xml:space="preserve"> x/4</t>
    </r>
  </si>
  <si>
    <r>
      <rPr>
        <b val="1"/>
        <sz val="12"/>
        <color indexed="8"/>
        <rFont val="Aptos Narrow"/>
      </rPr>
      <t>Speed</t>
    </r>
    <r>
      <rPr>
        <sz val="12"/>
        <color indexed="8"/>
        <rFont val="Aptos Narrow"/>
      </rPr>
      <t xml:space="preserve">
</t>
    </r>
    <r>
      <rPr>
        <sz val="12"/>
        <color indexed="8"/>
        <rFont val="Aptos Narrow"/>
      </rPr>
      <t xml:space="preserve">equation: </t>
    </r>
    <r>
      <rPr>
        <b val="1"/>
        <sz val="12"/>
        <color indexed="8"/>
        <rFont val="Aptos Narrow"/>
      </rPr>
      <t xml:space="preserve">x/100 </t>
    </r>
    <r>
      <rPr>
        <sz val="12"/>
        <color indexed="8"/>
        <rFont val="Aptos Narrow"/>
      </rPr>
      <t xml:space="preserve">
</t>
    </r>
    <r>
      <rPr>
        <sz val="12"/>
        <color indexed="8"/>
        <rFont val="Aptos Narrow"/>
      </rPr>
      <t>unit: kp/h</t>
    </r>
  </si>
  <si>
    <r>
      <rPr>
        <b val="1"/>
        <sz val="12"/>
        <color indexed="8"/>
        <rFont val="Aptos Narrow"/>
      </rPr>
      <t xml:space="preserve">Throttle
</t>
    </r>
    <r>
      <rPr>
        <sz val="12"/>
        <color indexed="8"/>
        <rFont val="Aptos Narrow"/>
      </rPr>
      <t xml:space="preserve">equation: ???
</t>
    </r>
    <r>
      <rPr>
        <sz val="12"/>
        <color indexed="8"/>
        <rFont val="Aptos Narrow"/>
      </rPr>
      <t>Unit: %</t>
    </r>
  </si>
  <si>
    <t>0x165</t>
  </si>
  <si>
    <r>
      <rPr>
        <b val="1"/>
        <sz val="12"/>
        <color indexed="8"/>
        <rFont val="Aptos Narrow"/>
      </rPr>
      <t>Cruise Control</t>
    </r>
    <r>
      <rPr>
        <sz val="12"/>
        <color indexed="8"/>
        <rFont val="Aptos Narrow"/>
      </rPr>
      <t xml:space="preserve">
</t>
    </r>
    <r>
      <rPr>
        <sz val="12"/>
        <color indexed="8"/>
        <rFont val="Aptos Narrow"/>
      </rPr>
      <t xml:space="preserve">(dec)46 = active
</t>
    </r>
    <r>
      <rPr>
        <sz val="12"/>
        <color indexed="8"/>
        <rFont val="Aptos Narrow"/>
      </rPr>
      <t xml:space="preserve">(dec)40 = inactive
</t>
    </r>
  </si>
  <si>
    <r>
      <rPr>
        <b val="1"/>
        <sz val="12"/>
        <color indexed="8"/>
        <rFont val="Aptos Narrow"/>
      </rPr>
      <t xml:space="preserve">Speed Limit
</t>
    </r>
    <r>
      <rPr>
        <sz val="12"/>
        <color indexed="8"/>
        <rFont val="Aptos Narrow"/>
      </rPr>
      <t xml:space="preserve">(dec)144 = active
</t>
    </r>
    <r>
      <rPr>
        <sz val="12"/>
        <color indexed="8"/>
        <rFont val="Aptos Narrow"/>
      </rPr>
      <t>(dec)0 = inactive</t>
    </r>
  </si>
  <si>
    <t>0x078</t>
  </si>
  <si>
    <r>
      <rPr>
        <b val="1"/>
        <sz val="12"/>
        <color indexed="8"/>
        <rFont val="Aptos Narrow"/>
      </rPr>
      <t xml:space="preserve">Brake pressure
</t>
    </r>
    <r>
      <rPr>
        <sz val="12"/>
        <color indexed="8"/>
        <rFont val="Aptos Narrow"/>
      </rPr>
      <t>equation:</t>
    </r>
    <r>
      <rPr>
        <b val="1"/>
        <sz val="12"/>
        <color indexed="8"/>
        <rFont val="Aptos Narrow"/>
      </rPr>
      <t xml:space="preserve"> signed(x)*(100/65536)+40</t>
    </r>
    <r>
      <rPr>
        <sz val="12"/>
        <color indexed="8"/>
        <rFont val="Aptos Narrow"/>
      </rPr>
      <t xml:space="preserve">
</t>
    </r>
    <r>
      <rPr>
        <sz val="12"/>
        <color indexed="8"/>
        <rFont val="Aptos Narrow"/>
      </rPr>
      <t>unit: ???</t>
    </r>
  </si>
  <si>
    <t>0x086</t>
  </si>
  <si>
    <r>
      <rPr>
        <b val="1"/>
        <sz val="12"/>
        <color indexed="8"/>
        <rFont val="Aptos Narrow"/>
      </rPr>
      <t>Steering angle</t>
    </r>
    <r>
      <rPr>
        <sz val="12"/>
        <color indexed="8"/>
        <rFont val="Aptos Narrow"/>
      </rPr>
      <t xml:space="preserve">
</t>
    </r>
    <r>
      <rPr>
        <sz val="12"/>
        <color indexed="8"/>
        <rFont val="Aptos Narrow"/>
      </rPr>
      <t xml:space="preserve">equation: </t>
    </r>
    <r>
      <rPr>
        <b val="1"/>
        <sz val="12"/>
        <color indexed="8"/>
        <rFont val="Aptos Narrow"/>
      </rPr>
      <t xml:space="preserve">(16000 - x * 0.1)
</t>
    </r>
    <r>
      <rPr>
        <sz val="12"/>
        <color indexed="8"/>
        <rFont val="Aptos Narrow"/>
      </rPr>
      <t>unit: ???</t>
    </r>
  </si>
  <si>
    <t>0x420</t>
  </si>
  <si>
    <r>
      <rPr>
        <b val="1"/>
        <sz val="12"/>
        <color indexed="8"/>
        <rFont val="Aptos Narrow"/>
      </rPr>
      <t>Coolant temperature</t>
    </r>
    <r>
      <rPr>
        <sz val="12"/>
        <color indexed="8"/>
        <rFont val="Aptos Narrow"/>
      </rPr>
      <t xml:space="preserve"> - exact bytes unknown right now</t>
    </r>
    <r>
      <rPr>
        <b val="1"/>
        <sz val="12"/>
        <color indexed="8"/>
        <rFont val="Aptos Narrow"/>
      </rPr>
      <t xml:space="preserve">
</t>
    </r>
  </si>
  <si>
    <t>0x050</t>
  </si>
  <si>
    <r>
      <rPr>
        <b val="1"/>
        <sz val="12"/>
        <color indexed="8"/>
        <rFont val="Aptos Narrow"/>
      </rPr>
      <t xml:space="preserve">Ignition state
</t>
    </r>
    <r>
      <rPr>
        <sz val="12"/>
        <color indexed="8"/>
        <rFont val="Aptos Narrow"/>
      </rPr>
      <t xml:space="preserve">0 = off
</t>
    </r>
    <r>
      <rPr>
        <sz val="12"/>
        <color indexed="8"/>
        <rFont val="Aptos Narrow"/>
      </rPr>
      <t>2 = on (?)</t>
    </r>
  </si>
  <si>
    <t>0x09a</t>
  </si>
  <si>
    <r>
      <rPr>
        <b val="1"/>
        <sz val="12"/>
        <color indexed="8"/>
        <rFont val="Aptos Narrow"/>
      </rPr>
      <t xml:space="preserve">Headlight state
</t>
    </r>
    <r>
      <rPr>
        <sz val="12"/>
        <color indexed="8"/>
        <rFont val="Aptos Narrow"/>
      </rPr>
      <t xml:space="preserve">(dec) 0 = off
</t>
    </r>
    <r>
      <rPr>
        <sz val="12"/>
        <color indexed="8"/>
        <rFont val="Aptos Narrow"/>
      </rPr>
      <t xml:space="preserve">(dec) 16 = drl
</t>
    </r>
    <r>
      <rPr>
        <sz val="12"/>
        <color indexed="8"/>
        <rFont val="Aptos Narrow"/>
      </rPr>
      <t xml:space="preserve">(dec) 32 = parking
</t>
    </r>
    <r>
      <rPr>
        <sz val="12"/>
        <color indexed="8"/>
        <rFont val="Aptos Narrow"/>
      </rPr>
      <t xml:space="preserve">(dec) 48 = low beam
</t>
    </r>
    <r>
      <rPr>
        <sz val="12"/>
        <color indexed="8"/>
        <rFont val="Aptos Narrow"/>
      </rPr>
      <t>(dec) 192 = high beam</t>
    </r>
  </si>
  <si>
    <t>0x09d</t>
  </si>
  <si>
    <r>
      <rPr>
        <b val="1"/>
        <sz val="12"/>
        <color indexed="8"/>
        <rFont val="Aptos Narrow"/>
      </rPr>
      <t xml:space="preserve">CC + / - Button
</t>
    </r>
    <r>
      <rPr>
        <sz val="12"/>
        <color indexed="8"/>
        <rFont val="Aptos Narrow"/>
      </rPr>
      <t xml:space="preserve">(dec)8= + button
</t>
    </r>
    <r>
      <rPr>
        <sz val="12"/>
        <color indexed="8"/>
        <rFont val="Aptos Narrow"/>
      </rPr>
      <t xml:space="preserve">(dec)32 = - button (? to check)
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</si>
</sst>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10"/>
      <color indexed="8"/>
      <name val="Arial"/>
    </font>
    <font>
      <b val="1"/>
      <sz val="12"/>
      <color indexed="8"/>
      <name val="Arial"/>
    </font>
    <font>
      <b val="1"/>
      <sz val="12"/>
      <color indexed="8"/>
      <name val="Aptos Narrow"/>
    </font>
    <font>
      <sz val="11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49" fontId="3" fillId="2" borderId="2" applyNumberFormat="1" applyFont="1" applyFill="1" applyBorder="1" applyAlignment="1" applyProtection="0">
      <alignment vertical="top"/>
    </xf>
    <xf numFmtId="0" fontId="4" fillId="2" borderId="2" applyNumberFormat="0" applyFont="1" applyFill="1" applyBorder="1" applyAlignment="1" applyProtection="0">
      <alignment vertical="top"/>
    </xf>
    <xf numFmtId="0" fontId="4" fillId="2" borderId="2" applyNumberFormat="1" applyFont="1" applyFill="1" applyBorder="1" applyAlignment="1" applyProtection="0">
      <alignment vertical="top"/>
    </xf>
    <xf numFmtId="0" fontId="0" fillId="2" borderId="3" applyNumberFormat="0" applyFont="1" applyFill="1" applyBorder="1" applyAlignment="1" applyProtection="0">
      <alignment vertical="top"/>
    </xf>
    <xf numFmtId="49" fontId="5" fillId="3" borderId="4" applyNumberFormat="1" applyFont="1" applyFill="1" applyBorder="1" applyAlignment="1" applyProtection="0">
      <alignment vertical="top"/>
    </xf>
    <xf numFmtId="0" fontId="0" fillId="2" borderId="5" applyNumberFormat="0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0" fontId="0" fillId="2" borderId="6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horizontal="center" vertical="top" wrapText="1"/>
    </xf>
    <xf numFmtId="0" fontId="0" fillId="2" borderId="6" applyNumberFormat="0" applyFont="1" applyFill="1" applyBorder="1" applyAlignment="1" applyProtection="0">
      <alignment horizontal="center" vertical="top"/>
    </xf>
    <xf numFmtId="49" fontId="6" fillId="2" borderId="6" applyNumberFormat="1" applyFont="1" applyFill="1" applyBorder="1" applyAlignment="1" applyProtection="0">
      <alignment horizontal="center" vertical="top" wrapText="1"/>
    </xf>
    <xf numFmtId="0" fontId="6" fillId="2" borderId="6" applyNumberFormat="0" applyFont="1" applyFill="1" applyBorder="1" applyAlignment="1" applyProtection="0">
      <alignment horizontal="center" vertical="top"/>
    </xf>
    <xf numFmtId="0" fontId="0" fillId="2" borderId="6" applyNumberFormat="0" applyFont="1" applyFill="1" applyBorder="1" applyAlignment="1" applyProtection="0">
      <alignment vertical="top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 wrapText="1"/>
    </xf>
    <xf numFmtId="49" fontId="6" fillId="2" borderId="1" applyNumberFormat="1" applyFont="1" applyFill="1" applyBorder="1" applyAlignment="1" applyProtection="0">
      <alignment vertical="top"/>
    </xf>
    <xf numFmtId="49" fontId="6" fillId="2" borderId="1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center" vertical="top" wrapText="1"/>
    </xf>
    <xf numFmtId="0" fontId="0" fillId="2" borderId="1" applyNumberFormat="0" applyFont="1" applyFill="1" applyBorder="1" applyAlignment="1" applyProtection="0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2c9c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M10"/>
  <sheetViews>
    <sheetView workbookViewId="0" showGridLines="0" defaultGridColor="1"/>
  </sheetViews>
  <sheetFormatPr defaultColWidth="10.8333" defaultRowHeight="16" customHeight="1" outlineLevelRow="0" outlineLevelCol="0"/>
  <cols>
    <col min="1" max="1" width="10.8516" style="1" customWidth="1"/>
    <col min="2" max="2" width="14.1719" style="1" customWidth="1"/>
    <col min="3" max="3" width="14.3516" style="1" customWidth="1"/>
    <col min="4" max="4" width="20.1719" style="1" customWidth="1"/>
    <col min="5" max="9" width="10.8516" style="1" customWidth="1"/>
    <col min="10" max="10" width="13.3516" style="1" customWidth="1"/>
    <col min="11" max="12" width="10.8516" style="1" customWidth="1"/>
    <col min="13" max="13" width="25.3516" style="1" customWidth="1"/>
    <col min="14" max="16384" width="10.8516" style="1" customWidth="1"/>
  </cols>
  <sheetData>
    <row r="1" ht="17" customHeight="1">
      <c r="A1" s="2"/>
      <c r="B1" t="s" s="3">
        <v>0</v>
      </c>
      <c r="C1" s="4"/>
      <c r="D1" s="5">
        <v>0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2"/>
      <c r="M1" s="2"/>
    </row>
    <row r="2" ht="17" customHeight="1">
      <c r="A2" s="6"/>
      <c r="B2" t="s" s="7">
        <v>1</v>
      </c>
      <c r="C2" t="s" s="7">
        <v>2</v>
      </c>
      <c r="D2" t="s" s="7">
        <v>3</v>
      </c>
      <c r="E2" t="s" s="7">
        <v>4</v>
      </c>
      <c r="F2" t="s" s="7">
        <v>5</v>
      </c>
      <c r="G2" t="s" s="7">
        <v>6</v>
      </c>
      <c r="H2" t="s" s="7">
        <v>7</v>
      </c>
      <c r="I2" t="s" s="7">
        <v>8</v>
      </c>
      <c r="J2" t="s" s="7">
        <v>9</v>
      </c>
      <c r="K2" t="s" s="7">
        <v>10</v>
      </c>
      <c r="L2" s="8"/>
      <c r="M2" t="s" s="9">
        <v>11</v>
      </c>
    </row>
    <row r="3" ht="53" customHeight="1">
      <c r="A3" s="2"/>
      <c r="B3" t="s" s="10">
        <v>12</v>
      </c>
      <c r="C3" s="11">
        <f>HEX2DEC(RIGHT(B3,3))</f>
        <v>514</v>
      </c>
      <c r="D3" t="s" s="12">
        <v>13</v>
      </c>
      <c r="E3" s="13"/>
      <c r="F3" t="s" s="12">
        <v>14</v>
      </c>
      <c r="G3" s="13"/>
      <c r="H3" t="s" s="14">
        <v>15</v>
      </c>
      <c r="I3" s="15"/>
      <c r="J3" s="16"/>
      <c r="K3" s="16"/>
      <c r="L3" s="2"/>
      <c r="M3" s="2"/>
    </row>
    <row r="4" ht="68" customHeight="1">
      <c r="A4" s="2"/>
      <c r="B4" t="s" s="9">
        <v>16</v>
      </c>
      <c r="C4" s="17">
        <f>HEX2DEC(RIGHT(B4,3))</f>
        <v>357</v>
      </c>
      <c r="D4" t="s" s="18">
        <v>17</v>
      </c>
      <c r="E4" s="2"/>
      <c r="F4" s="2"/>
      <c r="G4" s="2"/>
      <c r="H4" t="s" s="20">
        <v>18</v>
      </c>
      <c r="I4" s="2"/>
      <c r="J4" s="2"/>
      <c r="K4" s="2"/>
      <c r="L4" s="2"/>
      <c r="M4" s="2"/>
    </row>
    <row r="5" ht="67" customHeight="1">
      <c r="A5" s="2"/>
      <c r="B5" t="s" s="9">
        <v>19</v>
      </c>
      <c r="C5" s="17">
        <f>HEX2DEC(RIGHT(B5,3))</f>
        <v>120</v>
      </c>
      <c r="D5" s="2"/>
      <c r="E5" s="2"/>
      <c r="F5" s="2"/>
      <c r="G5" s="2"/>
      <c r="H5" s="2"/>
      <c r="I5" t="s" s="21">
        <v>20</v>
      </c>
      <c r="J5" s="2"/>
      <c r="K5" s="2"/>
      <c r="L5" s="2"/>
      <c r="M5" s="2"/>
    </row>
    <row r="6" ht="48" customHeight="1">
      <c r="A6" s="2"/>
      <c r="B6" t="s" s="9">
        <v>21</v>
      </c>
      <c r="C6" s="17">
        <f>HEX2DEC(RIGHT(B6,3))</f>
        <v>134</v>
      </c>
      <c r="D6" t="s" s="21">
        <v>22</v>
      </c>
      <c r="E6" s="22"/>
      <c r="F6" s="2"/>
      <c r="G6" s="2"/>
      <c r="H6" s="2"/>
      <c r="I6" s="2"/>
      <c r="J6" s="2"/>
      <c r="K6" s="2"/>
      <c r="L6" s="2"/>
      <c r="M6" s="2"/>
    </row>
    <row r="7" ht="85" customHeight="1">
      <c r="A7" s="2"/>
      <c r="B7" t="s" s="9">
        <v>23</v>
      </c>
      <c r="C7" s="17">
        <f>HEX2DEC(RIGHT(B7,3))</f>
        <v>1056</v>
      </c>
      <c r="D7" t="s" s="18">
        <v>24</v>
      </c>
      <c r="E7" s="2"/>
      <c r="F7" s="2"/>
      <c r="G7" s="2"/>
      <c r="H7" s="2"/>
      <c r="I7" s="2"/>
      <c r="J7" s="2"/>
      <c r="K7" s="2"/>
      <c r="L7" s="2"/>
      <c r="M7" s="2"/>
    </row>
    <row r="8" ht="51" customHeight="1">
      <c r="A8" s="2"/>
      <c r="B8" t="s" s="9">
        <v>25</v>
      </c>
      <c r="C8" s="17">
        <f>HEX2DEC(RIGHT(B8,3))</f>
        <v>80</v>
      </c>
      <c r="D8" t="s" s="18">
        <v>26</v>
      </c>
      <c r="E8" s="2"/>
      <c r="F8" s="2"/>
      <c r="G8" s="2"/>
      <c r="H8" s="2"/>
      <c r="I8" s="2"/>
      <c r="J8" s="2"/>
      <c r="K8" s="2"/>
      <c r="L8" s="2"/>
      <c r="M8" s="2"/>
    </row>
    <row r="9" ht="136" customHeight="1">
      <c r="A9" s="2"/>
      <c r="B9" t="s" s="9">
        <v>27</v>
      </c>
      <c r="C9" s="17">
        <f>HEX2DEC(RIGHT(B9,3))</f>
        <v>154</v>
      </c>
      <c r="D9" t="s" s="20">
        <v>28</v>
      </c>
      <c r="E9" s="2"/>
      <c r="F9" s="2"/>
      <c r="G9" s="2"/>
      <c r="H9" s="2"/>
      <c r="I9" s="2"/>
      <c r="J9" s="2"/>
      <c r="K9" s="2"/>
      <c r="L9" s="2"/>
      <c r="M9" s="2"/>
    </row>
    <row r="10" ht="59" customHeight="1">
      <c r="A10" s="2"/>
      <c r="B10" t="s" s="9">
        <v>29</v>
      </c>
      <c r="C10" s="2"/>
      <c r="D10" t="s" s="18">
        <v>30</v>
      </c>
      <c r="E10" s="2"/>
      <c r="F10" s="2"/>
      <c r="G10" s="2"/>
      <c r="H10" s="2"/>
      <c r="I10" s="2"/>
      <c r="J10" s="2"/>
      <c r="K10" s="2"/>
      <c r="L10" s="2"/>
      <c r="M10" s="2"/>
    </row>
  </sheetData>
  <mergeCells count="5">
    <mergeCell ref="D3:E3"/>
    <mergeCell ref="F3:G3"/>
    <mergeCell ref="H3:I3"/>
    <mergeCell ref="I5:J5"/>
    <mergeCell ref="D6:E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